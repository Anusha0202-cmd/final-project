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<sst xmlns="http://schemas.openxmlformats.org/spreadsheetml/2006/main" count="22" uniqueCount="22">
  <si>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Month</t>
  </si>
  <si>
    <t>Revenue</t>
  </si>
  <si>
    <t>Expenses</t>
  </si>
  <si>
    <t>Customers</t>
  </si>
  <si>
    <t>Marketing_Spend</t>
  </si>
  <si>
    <t xml:space="preserve">Profit </t>
  </si>
  <si>
    <t xml:space="preserve"> LTV (Lifetime Value)</t>
  </si>
  <si>
    <t>CAC (Customer Acquisition Cost)</t>
  </si>
  <si>
    <t xml:space="preserve"> LTV : CAC Ratio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</si>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</sst>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25"/>
    <col customWidth="1" min="7" max="7" width="17.0"/>
    <col customWidth="1" min="8" max="8" width="25.63"/>
    <col customWidth="1" min="9" max="9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</row>
    <row r="2">
      <c r="A2" s="1" t="s">
        <v>9</v>
      </c>
      <c r="B2" s="3">
        <v>50000.0</v>
      </c>
      <c r="C2" s="1">
        <v>30000.0</v>
      </c>
      <c r="D2" s="1">
        <v>120.0</v>
      </c>
      <c r="E2" s="1">
        <v>8000.0</v>
      </c>
      <c r="F2" s="4">
        <f> B14 - C14</f>
        <v>20000</v>
      </c>
      <c r="G2" s="3">
        <f> C14/D14</f>
        <v>360.6060606</v>
      </c>
      <c r="H2" s="4">
        <f> SUM(E2:E13) / D14</f>
        <v>61.11111111</v>
      </c>
      <c r="I2" s="4">
        <f> G2 / H2</f>
        <v>5.900826446</v>
      </c>
    </row>
    <row r="3">
      <c r="A3" s="1" t="s">
        <v>10</v>
      </c>
      <c r="B3" s="3">
        <v>52000.0</v>
      </c>
      <c r="C3" s="1">
        <v>52000.0</v>
      </c>
      <c r="D3" s="1">
        <v>130.0</v>
      </c>
      <c r="E3" s="1">
        <v>8200.0</v>
      </c>
      <c r="G3" s="3"/>
    </row>
    <row r="4">
      <c r="A4" s="1" t="s">
        <v>11</v>
      </c>
      <c r="B4" s="3">
        <v>48000.0</v>
      </c>
      <c r="C4" s="1">
        <v>48000.0</v>
      </c>
      <c r="D4" s="1">
        <v>110.0</v>
      </c>
      <c r="E4" s="1">
        <v>7500.0</v>
      </c>
      <c r="G4" s="3"/>
    </row>
    <row r="5">
      <c r="A5" s="1" t="s">
        <v>12</v>
      </c>
      <c r="B5" s="3">
        <v>55000.0</v>
      </c>
      <c r="C5" s="1">
        <v>55000.0</v>
      </c>
      <c r="D5" s="1">
        <v>140.0</v>
      </c>
      <c r="E5" s="1">
        <v>9000.0</v>
      </c>
      <c r="G5" s="3"/>
    </row>
    <row r="6">
      <c r="A6" s="1" t="s">
        <v>13</v>
      </c>
      <c r="B6" s="3">
        <v>58000.0</v>
      </c>
      <c r="C6" s="1">
        <v>58000.0</v>
      </c>
      <c r="D6" s="1">
        <v>150.0</v>
      </c>
      <c r="E6" s="1">
        <v>9500.0</v>
      </c>
      <c r="G6" s="3"/>
    </row>
    <row r="7">
      <c r="A7" s="1" t="s">
        <v>14</v>
      </c>
      <c r="B7" s="3">
        <v>60000.0</v>
      </c>
      <c r="C7" s="1">
        <v>60000.0</v>
      </c>
      <c r="D7" s="1">
        <v>160.0</v>
      </c>
      <c r="E7" s="1">
        <v>9800.0</v>
      </c>
      <c r="G7" s="3"/>
    </row>
    <row r="8">
      <c r="A8" s="1" t="s">
        <v>15</v>
      </c>
      <c r="B8" s="3">
        <v>62000.0</v>
      </c>
      <c r="C8" s="1">
        <v>62000.0</v>
      </c>
      <c r="D8" s="1">
        <v>170.0</v>
      </c>
      <c r="E8" s="1">
        <v>10000.0</v>
      </c>
      <c r="G8" s="3"/>
    </row>
    <row r="9">
      <c r="A9" s="1" t="s">
        <v>16</v>
      </c>
      <c r="B9" s="3">
        <v>65000.0</v>
      </c>
      <c r="C9" s="1">
        <v>65000.0</v>
      </c>
      <c r="D9" s="1">
        <v>180.0</v>
      </c>
      <c r="E9" s="1">
        <v>10500.0</v>
      </c>
      <c r="G9" s="3"/>
    </row>
    <row r="10">
      <c r="A10" s="1" t="s">
        <v>17</v>
      </c>
      <c r="B10" s="3">
        <v>67000.0</v>
      </c>
      <c r="C10" s="1">
        <v>67000.0</v>
      </c>
      <c r="D10" s="1">
        <v>190.0</v>
      </c>
      <c r="E10" s="1">
        <v>11000.0</v>
      </c>
      <c r="G10" s="3"/>
    </row>
    <row r="11">
      <c r="A11" s="1" t="s">
        <v>18</v>
      </c>
      <c r="B11" s="3">
        <v>70000.0</v>
      </c>
      <c r="C11" s="1">
        <v>70000.0</v>
      </c>
      <c r="D11" s="1">
        <v>200.0</v>
      </c>
      <c r="E11" s="1">
        <v>12000.0</v>
      </c>
      <c r="G11" s="3"/>
    </row>
    <row r="12">
      <c r="A12" s="1" t="s">
        <v>19</v>
      </c>
      <c r="B12" s="3">
        <v>72000.0</v>
      </c>
      <c r="C12" s="1">
        <v>72000.0</v>
      </c>
      <c r="D12" s="1">
        <v>210.0</v>
      </c>
      <c r="E12" s="1">
        <v>12500.0</v>
      </c>
      <c r="G12" s="3"/>
    </row>
    <row r="13">
      <c r="A13" s="1" t="s">
        <v>20</v>
      </c>
      <c r="B13" s="3">
        <v>75000.0</v>
      </c>
      <c r="C13" s="1">
        <v>75000.0</v>
      </c>
      <c r="D13" s="1">
        <v>220.0</v>
      </c>
      <c r="E13" s="1">
        <v>13000.0</v>
      </c>
      <c r="G13" s="3"/>
    </row>
    <row r="14">
      <c r="A14" s="1" t="s">
        <v>21</v>
      </c>
      <c r="B14" s="5">
        <f>SUM(Sheet1!B2:B13)</f>
        <v>734000</v>
      </c>
      <c r="C14" s="4">
        <f>SUM(Sheet1!C2:C13)</f>
        <v>714000</v>
      </c>
      <c r="D14" s="4">
        <f>SUM(Sheet1!D2:D13)</f>
        <v>1980</v>
      </c>
      <c r="G14" s="5"/>
    </row>
  </sheetData>
  <drawing r:id="rId1"/>
</worksheet>
</file>